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1 Site" sheetId="2" state="visible" r:id="rId4"/>
    <sheet name="2 Labor" sheetId="3" state="visible" r:id="rId5"/>
    <sheet name="3 Costs" sheetId="4" state="visible" r:id="rId6"/>
    <sheet name="4 Periodic" sheetId="5" state="visible" r:id="rId7"/>
    <sheet name="5 The bi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<sst xmlns="http://schemas.openxmlformats.org/spreadsheetml/2006/main" count="132" uniqueCount="126">
  <si>
    <t xml:space="preserve">Janitorial bid pricing worksheet</t>
  </si>
  <si>
    <t xml:space="preserve">Rosebud Solutions</t>
  </si>
  <si>
    <t xml:space="preserve">How to use this</t>
  </si>
  <si>
    <t xml:space="preserve">Fill in every yellow cell. Yellow means you type it. Everything else calculates.</t>
  </si>
  <si>
    <t xml:space="preserve">Work through the tabs in order: 1 Site, 2 Labor, 3 Costs, 4 Periodic, 5 The bid.</t>
  </si>
  <si>
    <t xml:space="preserve">The bid price appears on tab 5. Nothing else needs to be worked out by hand.</t>
  </si>
  <si>
    <t xml:space="preserve">The two things bids get wrong</t>
  </si>
  <si>
    <t xml:space="preserve">1. Quoting off the base wage instead of the fully loaded rate. Tab 2 loads it for you.</t>
  </si>
  <si>
    <t xml:space="preserve">2. Adding a margin percentage on top of cost. That does not give you that margin.</t>
  </si>
  <si>
    <t xml:space="preserve">   Tab 5 divides by (1 - margin), which does. A 30% target on $1,000 of cost is $1,429, not $1,300.</t>
  </si>
  <si>
    <t xml:space="preserve">Production rates</t>
  </si>
  <si>
    <t xml:space="preserve">The ISSA 612 cleaning times standard is the industry benchmark.</t>
  </si>
  <si>
    <t xml:space="preserve">Published general office rates vary by source, roughly 2,500 to 4,200 sq ft per hour.</t>
  </si>
  <si>
    <t xml:space="preserve">Medical space runs far slower, around 2,200. Use your own measured rate wherever you have one.</t>
  </si>
  <si>
    <t xml:space="preserve">Break the building into area types. One rate across a whole floor is the commonest pricing error.</t>
  </si>
  <si>
    <t xml:space="preserve">Sense check</t>
  </si>
  <si>
    <t xml:space="preserve">The most reliable check is effective hourly revenue: aim for roughly 2 to 3 times your fully loaded rate.</t>
  </si>
  <si>
    <t xml:space="preserve">Price per square foot is reported too, but it moves with cleaning frequency, so it only compares like with like.</t>
  </si>
  <si>
    <t xml:space="preserve">If a check looks wrong, find the reason before you send the bid, not after.</t>
  </si>
  <si>
    <t xml:space="preserve">Not legal or financial advice. Benchmarks are illustrative. Price from your own measured costs.</t>
  </si>
  <si>
    <t xml:space="preserve">(c) Rosebud Global Ltd. You may use and adapt this workbook for your own business.</t>
  </si>
  <si>
    <t xml:space="preserve">Site details</t>
  </si>
  <si>
    <t xml:space="preserve">Yellow cells are yours to fill in.</t>
  </si>
  <si>
    <t xml:space="preserve">Prospect</t>
  </si>
  <si>
    <t xml:space="preserve">Contact and title</t>
  </si>
  <si>
    <t xml:space="preserve">Premises address</t>
  </si>
  <si>
    <t xml:space="preserve">Walkthrough date</t>
  </si>
  <si>
    <t xml:space="preserve">Bid due date</t>
  </si>
  <si>
    <t xml:space="preserve">Facility type</t>
  </si>
  <si>
    <t xml:space="preserve">Restroom count</t>
  </si>
  <si>
    <t xml:space="preserve">Fixture count</t>
  </si>
  <si>
    <t xml:space="preserve">Floor types</t>
  </si>
  <si>
    <t xml:space="preserve">Furniture density</t>
  </si>
  <si>
    <t xml:space="preserve">Soil load</t>
  </si>
  <si>
    <t xml:space="preserve">Occupancy</t>
  </si>
  <si>
    <t xml:space="preserve">Service window</t>
  </si>
  <si>
    <t xml:space="preserve">Incumbent, if known</t>
  </si>
  <si>
    <t xml:space="preserve">Why they are rebidding</t>
  </si>
  <si>
    <t xml:space="preserve">This sheet is deliberately blank. It is the one tab that reaches a client if the file is forwarded.</t>
  </si>
  <si>
    <t xml:space="preserve">Labor hours and loaded rate</t>
  </si>
  <si>
    <t xml:space="preserve">Cleanable sq ft divided by production rate equals hours per visit.</t>
  </si>
  <si>
    <t xml:space="preserve">Area type</t>
  </si>
  <si>
    <t xml:space="preserve">Cleanable sq ft</t>
  </si>
  <si>
    <t xml:space="preserve">Production rate (sq ft/hr)</t>
  </si>
  <si>
    <t xml:space="preserve">Hours per visit</t>
  </si>
  <si>
    <t xml:space="preserve">Open office</t>
  </si>
  <si>
    <t xml:space="preserve">Private offices</t>
  </si>
  <si>
    <t xml:space="preserve">Restrooms</t>
  </si>
  <si>
    <t xml:space="preserve">Kitchen / break area</t>
  </si>
  <si>
    <t xml:space="preserve">Corridors and stairs</t>
  </si>
  <si>
    <t xml:space="preserve">Entrance and lobby</t>
  </si>
  <si>
    <t xml:space="preserve">Warehouse / production</t>
  </si>
  <si>
    <t xml:space="preserve">Total</t>
  </si>
  <si>
    <t xml:space="preserve">Zero production rate excludes the row. Example values shown, overwrite them.</t>
  </si>
  <si>
    <t xml:space="preserve">Fully loaded hourly rate</t>
  </si>
  <si>
    <t xml:space="preserve">Base hourly wage</t>
  </si>
  <si>
    <t xml:space="preserve">Payroll taxes (% of wage)</t>
  </si>
  <si>
    <t xml:space="preserve">Workers' compensation (% of wage)</t>
  </si>
  <si>
    <t xml:space="preserve">General liability allocation (% of wage)</t>
  </si>
  <si>
    <t xml:space="preserve">Quote from this rate, never the base wage.</t>
  </si>
  <si>
    <t xml:space="preserve">Monthly labor</t>
  </si>
  <si>
    <t xml:space="preserve">Visits per month</t>
  </si>
  <si>
    <t xml:space="preserve">Total hours per month</t>
  </si>
  <si>
    <t xml:space="preserve">Monthly labor cost</t>
  </si>
  <si>
    <t xml:space="preserve">21 visits per month is five nights a week. Change it to match the schedule.</t>
  </si>
  <si>
    <t xml:space="preserve">The costs most bids forget</t>
  </si>
  <si>
    <t xml:space="preserve">Every one of these is a real monthly cost. Leaving one out comes off your margin.</t>
  </si>
  <si>
    <t xml:space="preserve">Cost</t>
  </si>
  <si>
    <t xml:space="preserve">Monthly</t>
  </si>
  <si>
    <t xml:space="preserve">Note</t>
  </si>
  <si>
    <t xml:space="preserve">Drive time</t>
  </si>
  <si>
    <t xml:space="preserve">Pulled from the helper below. Round trip hours x visits x loaded rate.</t>
  </si>
  <si>
    <t xml:space="preserve">Vehicle and fuel</t>
  </si>
  <si>
    <t xml:space="preserve">Supervision and quality inspection</t>
  </si>
  <si>
    <t xml:space="preserve">Someone checks the work and takes the client's calls.</t>
  </si>
  <si>
    <t xml:space="preserve">Cleaning chemicals</t>
  </si>
  <si>
    <t xml:space="preserve">Consumables billed to you</t>
  </si>
  <si>
    <t xml:space="preserve">Liners and paper add up faster than chemicals.</t>
  </si>
  <si>
    <t xml:space="preserve">Equipment depreciation or rental</t>
  </si>
  <si>
    <t xml:space="preserve">Uniforms and PPE</t>
  </si>
  <si>
    <t xml:space="preserve">Overhead allocation</t>
  </si>
  <si>
    <t xml:space="preserve">Admin, insurance, software, share of premises.</t>
  </si>
  <si>
    <t xml:space="preserve">Total additional monthly cost</t>
  </si>
  <si>
    <t xml:space="preserve">Drive time helper</t>
  </si>
  <si>
    <t xml:space="preserve">Round trip hours per visit</t>
  </si>
  <si>
    <t xml:space="preserve">Drive time cost per month</t>
  </si>
  <si>
    <t xml:space="preserve">This feeds the drive time row above automatically. Set the round trip hours and it flows through.</t>
  </si>
  <si>
    <t xml:space="preserve">Periodic and specialist work</t>
  </si>
  <si>
    <t xml:space="preserve">Price separately. Only fold into the monthly figure if the client requires an all-in number.</t>
  </si>
  <si>
    <t xml:space="preserve">Task</t>
  </si>
  <si>
    <t xml:space="preserve">Times per year</t>
  </si>
  <si>
    <t xml:space="preserve">Hours</t>
  </si>
  <si>
    <t xml:space="preserve">Hourly rate</t>
  </si>
  <si>
    <t xml:space="preserve">Annual cost</t>
  </si>
  <si>
    <t xml:space="preserve">Monthly amortised</t>
  </si>
  <si>
    <t xml:space="preserve">Strip and wax hard floors</t>
  </si>
  <si>
    <t xml:space="preserve">Machine scrub / burnish</t>
  </si>
  <si>
    <t xml:space="preserve">Carpet extraction</t>
  </si>
  <si>
    <t xml:space="preserve">Interior window cleaning</t>
  </si>
  <si>
    <t xml:space="preserve">Exterior window cleaning</t>
  </si>
  <si>
    <t xml:space="preserve">Upholstery cleaning</t>
  </si>
  <si>
    <t xml:space="preserve">High dusting</t>
  </si>
  <si>
    <t xml:space="preserve">Pressure washing</t>
  </si>
  <si>
    <t xml:space="preserve">The bid</t>
  </si>
  <si>
    <t xml:space="preserve">Everything here calculates. The only cell to set is your target margin.</t>
  </si>
  <si>
    <t xml:space="preserve">Periodic work, monthly amortised</t>
  </si>
  <si>
    <t xml:space="preserve">Total monthly cost</t>
  </si>
  <si>
    <t xml:space="preserve">Target margin</t>
  </si>
  <si>
    <t xml:space="preserve">MONTHLY BID PRICE</t>
  </si>
  <si>
    <t xml:space="preserve">Cost divided by (1 minus margin). Adding a percentage on top does not give you that margin.</t>
  </si>
  <si>
    <t xml:space="preserve">Check</t>
  </si>
  <si>
    <t xml:space="preserve">Value</t>
  </si>
  <si>
    <t xml:space="preserve">What good looks like</t>
  </si>
  <si>
    <t xml:space="preserve">Price per cleanable sq ft per month</t>
  </si>
  <si>
    <t xml:space="preserve">Reported so you can compare against your own accounts. It scales with frequency, so a five-night building reads far higher than a three-night one. There is no single right number.</t>
  </si>
  <si>
    <t xml:space="preserve">Price per visit</t>
  </si>
  <si>
    <t xml:space="preserve">Effective hourly revenue</t>
  </si>
  <si>
    <t xml:space="preserve">The check that travels. Aim for roughly 2 to 3 times your fully loaded rate on tab 2. Below 2x, the overhead and margin are not really in the price.</t>
  </si>
  <si>
    <t xml:space="preserve">Break-even monthly price</t>
  </si>
  <si>
    <t xml:space="preserve">Never bid below this.</t>
  </si>
  <si>
    <t xml:space="preserve">Gross margin at bid price</t>
  </si>
  <si>
    <t xml:space="preserve">Walk away if</t>
  </si>
  <si>
    <t xml:space="preserve">The price needed to win is below your break-even.</t>
  </si>
  <si>
    <t xml:space="preserve">The service window is too tight to staff reliably.</t>
  </si>
  <si>
    <t xml:space="preserve">The specification needs equipment you would buy for this job alone.</t>
  </si>
  <si>
    <t xml:space="preserve">The incumbent has held it three cycles with no complaint on record.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</si>
</sst>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\$#,##0.00"/>
    <numFmt numFmtId="168" formatCode="0.0%"/>
    <numFmt numFmtId="169" formatCode="\$#,##0"/>
    <numFmt numFmtId="170" formatCode="\$#,##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71F8A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5A3FE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271F8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271F8A"/>
        <bgColor rgb="FF003366"/>
      </patternFill>
    </fill>
    <fill>
      <patternFill patternType="solid">
        <fgColor rgb="FFE8E4FB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0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0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E8E4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5A3FE0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71F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4" t="s">
        <v>14</v>
      </c>
    </row>
    <row r="21" customFormat="false" ht="15" hidden="false" customHeight="false" outlineLevel="0" collapsed="false">
      <c r="B21" s="3" t="s">
        <v>15</v>
      </c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4" t="s">
        <v>18</v>
      </c>
    </row>
    <row r="26" customFormat="false" ht="15" hidden="false" customHeight="false" outlineLevel="0" collapsed="false">
      <c r="B26" s="4" t="s">
        <v>19</v>
      </c>
    </row>
    <row r="27" customFormat="false" ht="15" hidden="false" customHeight="false" outlineLevel="0" collapsed="false">
      <c r="B27" s="4" t="s">
        <v>20</v>
      </c>
    </row>
  </sheetData>
  <sheetProtection sheet="true" formatCells="false" insertRows="false" delete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4"/>
    <col collapsed="false" customWidth="true" hidden="false" outlineLevel="0" max="3" min="3" style="0" width="40"/>
  </cols>
  <sheetData>
    <row r="2" customFormat="false" ht="17.35" hidden="false" customHeight="false" outlineLevel="0" collapsed="false">
      <c r="B2" s="1" t="s">
        <v>21</v>
      </c>
    </row>
    <row r="3" customFormat="false" ht="15" hidden="false" customHeight="false" outlineLevel="0" collapsed="false">
      <c r="B3" s="5" t="s">
        <v>22</v>
      </c>
    </row>
    <row r="5" customFormat="false" ht="15" hidden="false" customHeight="false" outlineLevel="0" collapsed="false">
      <c r="B5" s="6" t="s">
        <v>23</v>
      </c>
      <c r="C5" s="7"/>
    </row>
    <row r="6" customFormat="false" ht="15" hidden="false" customHeight="false" outlineLevel="0" collapsed="false">
      <c r="B6" s="6" t="s">
        <v>24</v>
      </c>
      <c r="C6" s="7"/>
    </row>
    <row r="7" customFormat="false" ht="15" hidden="false" customHeight="false" outlineLevel="0" collapsed="false">
      <c r="B7" s="6" t="s">
        <v>25</v>
      </c>
      <c r="C7" s="7"/>
    </row>
    <row r="8" customFormat="false" ht="15" hidden="false" customHeight="false" outlineLevel="0" collapsed="false">
      <c r="B8" s="6" t="s">
        <v>26</v>
      </c>
      <c r="C8" s="7"/>
    </row>
    <row r="9" customFormat="false" ht="15" hidden="false" customHeight="false" outlineLevel="0" collapsed="false">
      <c r="B9" s="6" t="s">
        <v>27</v>
      </c>
      <c r="C9" s="7"/>
    </row>
    <row r="10" customFormat="false" ht="15" hidden="false" customHeight="false" outlineLevel="0" collapsed="false">
      <c r="B10" s="6" t="s">
        <v>28</v>
      </c>
      <c r="C10" s="7"/>
    </row>
    <row r="11" customFormat="false" ht="15" hidden="false" customHeight="false" outlineLevel="0" collapsed="false">
      <c r="B11" s="6" t="s">
        <v>29</v>
      </c>
      <c r="C11" s="7"/>
    </row>
    <row r="12" customFormat="false" ht="15" hidden="false" customHeight="false" outlineLevel="0" collapsed="false">
      <c r="B12" s="6" t="s">
        <v>30</v>
      </c>
      <c r="C12" s="7"/>
    </row>
    <row r="13" customFormat="false" ht="15" hidden="false" customHeight="false" outlineLevel="0" collapsed="false">
      <c r="B13" s="6" t="s">
        <v>31</v>
      </c>
      <c r="C13" s="7"/>
    </row>
    <row r="14" customFormat="false" ht="15" hidden="false" customHeight="false" outlineLevel="0" collapsed="false">
      <c r="B14" s="6" t="s">
        <v>32</v>
      </c>
      <c r="C14" s="7"/>
    </row>
    <row r="15" customFormat="false" ht="15" hidden="false" customHeight="false" outlineLevel="0" collapsed="false">
      <c r="B15" s="6" t="s">
        <v>33</v>
      </c>
      <c r="C15" s="7"/>
    </row>
    <row r="16" customFormat="false" ht="15" hidden="false" customHeight="false" outlineLevel="0" collapsed="false">
      <c r="B16" s="6" t="s">
        <v>34</v>
      </c>
      <c r="C16" s="7"/>
    </row>
    <row r="17" customFormat="false" ht="15" hidden="false" customHeight="false" outlineLevel="0" collapsed="false">
      <c r="B17" s="6" t="s">
        <v>35</v>
      </c>
      <c r="C17" s="7"/>
    </row>
    <row r="18" customFormat="false" ht="15" hidden="false" customHeight="false" outlineLevel="0" collapsed="false">
      <c r="B18" s="6" t="s">
        <v>36</v>
      </c>
      <c r="C18" s="7"/>
    </row>
    <row r="19" customFormat="false" ht="15" hidden="false" customHeight="false" outlineLevel="0" collapsed="false">
      <c r="B19" s="6" t="s">
        <v>37</v>
      </c>
      <c r="C19" s="7"/>
    </row>
    <row r="21" customFormat="false" ht="15" hidden="false" customHeight="false" outlineLevel="0" collapsed="false">
      <c r="B21" s="5" t="s">
        <v>38</v>
      </c>
    </row>
  </sheetData>
  <sheetProtection sheet="true" formatCells="false" insertRows="false" delete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6"/>
  </cols>
  <sheetData>
    <row r="2" customFormat="false" ht="17.35" hidden="false" customHeight="false" outlineLevel="0" collapsed="false">
      <c r="B2" s="1" t="s">
        <v>39</v>
      </c>
    </row>
    <row r="3" customFormat="false" ht="15" hidden="false" customHeight="false" outlineLevel="0" collapsed="false">
      <c r="B3" s="5" t="s">
        <v>40</v>
      </c>
    </row>
    <row r="5" customFormat="false" ht="15" hidden="false" customHeight="false" outlineLevel="0" collapsed="false">
      <c r="B5" s="8" t="s">
        <v>41</v>
      </c>
      <c r="C5" s="8" t="s">
        <v>42</v>
      </c>
      <c r="D5" s="8" t="s">
        <v>43</v>
      </c>
      <c r="E5" s="8" t="s">
        <v>44</v>
      </c>
    </row>
    <row r="6" customFormat="false" ht="15" hidden="false" customHeight="false" outlineLevel="0" collapsed="false">
      <c r="B6" s="9" t="s">
        <v>45</v>
      </c>
      <c r="C6" s="10" t="n">
        <v>6000</v>
      </c>
      <c r="D6" s="10" t="n">
        <v>3500</v>
      </c>
      <c r="E6" s="11" t="n">
        <f aca="false">IF(D6=0,0,C6/D6)</f>
        <v>1.71428571428571</v>
      </c>
    </row>
    <row r="7" customFormat="false" ht="15" hidden="false" customHeight="false" outlineLevel="0" collapsed="false">
      <c r="B7" s="9" t="s">
        <v>46</v>
      </c>
      <c r="C7" s="10" t="n">
        <v>2000</v>
      </c>
      <c r="D7" s="10" t="n">
        <v>2800</v>
      </c>
      <c r="E7" s="11" t="n">
        <f aca="false">IF(D7=0,0,C7/D7)</f>
        <v>0.714285714285714</v>
      </c>
    </row>
    <row r="8" customFormat="false" ht="15" hidden="false" customHeight="false" outlineLevel="0" collapsed="false">
      <c r="B8" s="9" t="s">
        <v>47</v>
      </c>
      <c r="C8" s="10" t="n">
        <v>600</v>
      </c>
      <c r="D8" s="10" t="n">
        <v>500</v>
      </c>
      <c r="E8" s="11" t="n">
        <f aca="false">IF(D8=0,0,C8/D8)</f>
        <v>1.2</v>
      </c>
    </row>
    <row r="9" customFormat="false" ht="15" hidden="false" customHeight="false" outlineLevel="0" collapsed="false">
      <c r="B9" s="9" t="s">
        <v>48</v>
      </c>
      <c r="C9" s="10" t="n">
        <v>500</v>
      </c>
      <c r="D9" s="10" t="n">
        <v>2000</v>
      </c>
      <c r="E9" s="11" t="n">
        <f aca="false">IF(D9=0,0,C9/D9)</f>
        <v>0.25</v>
      </c>
    </row>
    <row r="10" customFormat="false" ht="15" hidden="false" customHeight="false" outlineLevel="0" collapsed="false">
      <c r="B10" s="9" t="s">
        <v>49</v>
      </c>
      <c r="C10" s="10" t="n">
        <v>900</v>
      </c>
      <c r="D10" s="10" t="n">
        <v>4000</v>
      </c>
      <c r="E10" s="11" t="n">
        <f aca="false">IF(D10=0,0,C10/D10)</f>
        <v>0.225</v>
      </c>
    </row>
    <row r="11" customFormat="false" ht="15" hidden="false" customHeight="false" outlineLevel="0" collapsed="false">
      <c r="B11" s="9" t="s">
        <v>50</v>
      </c>
      <c r="C11" s="10" t="n">
        <v>600</v>
      </c>
      <c r="D11" s="10" t="n">
        <v>3500</v>
      </c>
      <c r="E11" s="11" t="n">
        <f aca="false">IF(D11=0,0,C11/D11)</f>
        <v>0.171428571428571</v>
      </c>
    </row>
    <row r="12" customFormat="false" ht="15" hidden="false" customHeight="false" outlineLevel="0" collapsed="false">
      <c r="B12" s="9" t="s">
        <v>51</v>
      </c>
      <c r="C12" s="10" t="n">
        <v>0</v>
      </c>
      <c r="D12" s="10" t="n">
        <v>0</v>
      </c>
      <c r="E12" s="11" t="n">
        <f aca="false">IF(D12=0,0,C12/D12)</f>
        <v>0</v>
      </c>
    </row>
    <row r="13" customFormat="false" ht="15" hidden="false" customHeight="false" outlineLevel="0" collapsed="false">
      <c r="B13" s="6" t="s">
        <v>52</v>
      </c>
      <c r="C13" s="12" t="n">
        <f aca="false">SUM(C6:C12)</f>
        <v>10600</v>
      </c>
      <c r="D13" s="9"/>
      <c r="E13" s="13" t="n">
        <f aca="false">SUM(E6:E12)</f>
        <v>4.275</v>
      </c>
    </row>
    <row r="14" customFormat="false" ht="15" hidden="false" customHeight="false" outlineLevel="0" collapsed="false">
      <c r="B14" s="5" t="s">
        <v>53</v>
      </c>
    </row>
    <row r="16" customFormat="false" ht="17.35" hidden="false" customHeight="false" outlineLevel="0" collapsed="false">
      <c r="B16" s="1" t="s">
        <v>54</v>
      </c>
    </row>
    <row r="17" customFormat="false" ht="15" hidden="false" customHeight="false" outlineLevel="0" collapsed="false">
      <c r="B17" s="9" t="s">
        <v>55</v>
      </c>
      <c r="C17" s="14" t="n">
        <v>16</v>
      </c>
    </row>
    <row r="18" customFormat="false" ht="15" hidden="false" customHeight="false" outlineLevel="0" collapsed="false">
      <c r="B18" s="9" t="s">
        <v>56</v>
      </c>
      <c r="C18" s="15" t="n">
        <v>0.0765</v>
      </c>
    </row>
    <row r="19" customFormat="false" ht="15" hidden="false" customHeight="false" outlineLevel="0" collapsed="false">
      <c r="B19" s="9" t="s">
        <v>57</v>
      </c>
      <c r="C19" s="15" t="n">
        <v>0.05</v>
      </c>
    </row>
    <row r="20" customFormat="false" ht="15" hidden="false" customHeight="false" outlineLevel="0" collapsed="false">
      <c r="B20" s="9" t="s">
        <v>58</v>
      </c>
      <c r="C20" s="15" t="n">
        <v>0.02</v>
      </c>
    </row>
    <row r="21" customFormat="false" ht="15" hidden="false" customHeight="false" outlineLevel="0" collapsed="false">
      <c r="B21" s="6" t="s">
        <v>54</v>
      </c>
      <c r="C21" s="16" t="n">
        <f aca="false">C17*(1+C18+C19+C20)</f>
        <v>18.344</v>
      </c>
    </row>
    <row r="22" customFormat="false" ht="15" hidden="false" customHeight="false" outlineLevel="0" collapsed="false">
      <c r="B22" s="5" t="s">
        <v>59</v>
      </c>
    </row>
    <row r="24" customFormat="false" ht="17.35" hidden="false" customHeight="false" outlineLevel="0" collapsed="false">
      <c r="B24" s="1" t="s">
        <v>60</v>
      </c>
    </row>
    <row r="25" customFormat="false" ht="15" hidden="false" customHeight="false" outlineLevel="0" collapsed="false">
      <c r="B25" s="9" t="s">
        <v>44</v>
      </c>
      <c r="C25" s="11" t="n">
        <f aca="false">'2 Labor'!$E$13</f>
        <v>4.275</v>
      </c>
    </row>
    <row r="26" customFormat="false" ht="15" hidden="false" customHeight="false" outlineLevel="0" collapsed="false">
      <c r="B26" s="9" t="s">
        <v>61</v>
      </c>
      <c r="C26" s="10" t="n">
        <v>21</v>
      </c>
    </row>
    <row r="27" customFormat="false" ht="15" hidden="false" customHeight="false" outlineLevel="0" collapsed="false">
      <c r="B27" s="6" t="s">
        <v>62</v>
      </c>
      <c r="C27" s="13" t="n">
        <f aca="false">'2 Labor'!$E$13*'2 Labor'!$C$26</f>
        <v>89.775</v>
      </c>
    </row>
    <row r="28" customFormat="false" ht="15" hidden="false" customHeight="false" outlineLevel="0" collapsed="false">
      <c r="B28" s="6" t="s">
        <v>63</v>
      </c>
      <c r="C28" s="17" t="n">
        <f aca="false">'2 Labor'!$C$27*'2 Labor'!$C$21</f>
        <v>1646.8326</v>
      </c>
    </row>
    <row r="30" customFormat="false" ht="15" hidden="false" customHeight="false" outlineLevel="0" collapsed="false">
      <c r="B30" s="5" t="s">
        <v>64</v>
      </c>
    </row>
  </sheetData>
  <sheetProtection sheet="true" formatCells="false" insertRows="false" delete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46"/>
  </cols>
  <sheetData>
    <row r="2" customFormat="false" ht="17.35" hidden="false" customHeight="false" outlineLevel="0" collapsed="false">
      <c r="B2" s="1" t="s">
        <v>65</v>
      </c>
    </row>
    <row r="3" customFormat="false" ht="15" hidden="false" customHeight="false" outlineLevel="0" collapsed="false">
      <c r="B3" s="5" t="s">
        <v>66</v>
      </c>
    </row>
    <row r="5" customFormat="false" ht="15" hidden="false" customHeight="false" outlineLevel="0" collapsed="false">
      <c r="B5" s="8" t="s">
        <v>67</v>
      </c>
      <c r="C5" s="8" t="s">
        <v>68</v>
      </c>
      <c r="D5" s="8" t="s">
        <v>69</v>
      </c>
    </row>
    <row r="6" customFormat="false" ht="15" hidden="false" customHeight="false" outlineLevel="0" collapsed="false">
      <c r="B6" s="9" t="s">
        <v>70</v>
      </c>
      <c r="C6" s="18" t="n">
        <f aca="false">C18</f>
        <v>192.612</v>
      </c>
      <c r="D6" s="5" t="s">
        <v>71</v>
      </c>
    </row>
    <row r="7" customFormat="false" ht="15" hidden="false" customHeight="false" outlineLevel="0" collapsed="false">
      <c r="B7" s="9" t="s">
        <v>72</v>
      </c>
      <c r="C7" s="19" t="n">
        <v>60</v>
      </c>
      <c r="D7" s="5"/>
    </row>
    <row r="8" customFormat="false" ht="15" hidden="false" customHeight="false" outlineLevel="0" collapsed="false">
      <c r="B8" s="9" t="s">
        <v>73</v>
      </c>
      <c r="C8" s="19" t="n">
        <v>120</v>
      </c>
      <c r="D8" s="5" t="s">
        <v>74</v>
      </c>
    </row>
    <row r="9" customFormat="false" ht="15" hidden="false" customHeight="false" outlineLevel="0" collapsed="false">
      <c r="B9" s="9" t="s">
        <v>75</v>
      </c>
      <c r="C9" s="19" t="n">
        <v>55</v>
      </c>
      <c r="D9" s="5"/>
    </row>
    <row r="10" customFormat="false" ht="15" hidden="false" customHeight="false" outlineLevel="0" collapsed="false">
      <c r="B10" s="9" t="s">
        <v>76</v>
      </c>
      <c r="C10" s="19" t="n">
        <v>85</v>
      </c>
      <c r="D10" s="5" t="s">
        <v>77</v>
      </c>
    </row>
    <row r="11" customFormat="false" ht="15" hidden="false" customHeight="false" outlineLevel="0" collapsed="false">
      <c r="B11" s="9" t="s">
        <v>78</v>
      </c>
      <c r="C11" s="19" t="n">
        <v>40</v>
      </c>
      <c r="D11" s="5"/>
    </row>
    <row r="12" customFormat="false" ht="15" hidden="false" customHeight="false" outlineLevel="0" collapsed="false">
      <c r="B12" s="9" t="s">
        <v>79</v>
      </c>
      <c r="C12" s="19" t="n">
        <v>20</v>
      </c>
      <c r="D12" s="5"/>
    </row>
    <row r="13" customFormat="false" ht="15" hidden="false" customHeight="false" outlineLevel="0" collapsed="false">
      <c r="B13" s="9" t="s">
        <v>80</v>
      </c>
      <c r="C13" s="19" t="n">
        <v>100</v>
      </c>
      <c r="D13" s="5" t="s">
        <v>81</v>
      </c>
    </row>
    <row r="14" customFormat="false" ht="15" hidden="false" customHeight="false" outlineLevel="0" collapsed="false">
      <c r="B14" s="6" t="s">
        <v>82</v>
      </c>
      <c r="C14" s="17" t="n">
        <f aca="false">SUM(C6:C13)</f>
        <v>672.612</v>
      </c>
    </row>
    <row r="16" customFormat="false" ht="17.35" hidden="false" customHeight="false" outlineLevel="0" collapsed="false">
      <c r="B16" s="1" t="s">
        <v>83</v>
      </c>
    </row>
    <row r="17" customFormat="false" ht="15" hidden="false" customHeight="false" outlineLevel="0" collapsed="false">
      <c r="B17" s="9" t="s">
        <v>84</v>
      </c>
      <c r="C17" s="20" t="n">
        <v>0.5</v>
      </c>
    </row>
    <row r="18" customFormat="false" ht="15" hidden="false" customHeight="false" outlineLevel="0" collapsed="false">
      <c r="B18" s="6" t="s">
        <v>85</v>
      </c>
      <c r="C18" s="17" t="n">
        <f aca="false">C17*'2 Labor'!$C$26*'2 Labor'!$C$21</f>
        <v>192.612</v>
      </c>
    </row>
    <row r="19" customFormat="false" ht="15" hidden="false" customHeight="false" outlineLevel="0" collapsed="false">
      <c r="B19" s="5" t="s">
        <v>86</v>
      </c>
    </row>
  </sheetData>
  <sheetProtection sheet="true" formatCells="false" insertRows="false" delete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</cols>
  <sheetData>
    <row r="2" customFormat="false" ht="17.35" hidden="false" customHeight="false" outlineLevel="0" collapsed="false">
      <c r="B2" s="1" t="s">
        <v>87</v>
      </c>
    </row>
    <row r="3" customFormat="false" ht="15" hidden="false" customHeight="false" outlineLevel="0" collapsed="false">
      <c r="B3" s="5" t="s">
        <v>88</v>
      </c>
    </row>
    <row r="5" customFormat="false" ht="15" hidden="false" customHeight="false" outlineLevel="0" collapsed="false">
      <c r="B5" s="8" t="s">
        <v>89</v>
      </c>
      <c r="C5" s="8" t="s">
        <v>90</v>
      </c>
      <c r="D5" s="8" t="s">
        <v>91</v>
      </c>
      <c r="E5" s="8" t="s">
        <v>92</v>
      </c>
      <c r="F5" s="8" t="s">
        <v>93</v>
      </c>
      <c r="G5" s="8" t="s">
        <v>94</v>
      </c>
    </row>
    <row r="6" customFormat="false" ht="15" hidden="false" customHeight="false" outlineLevel="0" collapsed="false">
      <c r="B6" s="9" t="s">
        <v>95</v>
      </c>
      <c r="C6" s="10" t="n">
        <v>0</v>
      </c>
      <c r="D6" s="20" t="n">
        <v>0</v>
      </c>
      <c r="E6" s="14" t="n">
        <v>0</v>
      </c>
      <c r="F6" s="18" t="n">
        <f aca="false">C6*D6*E6</f>
        <v>0</v>
      </c>
      <c r="G6" s="18" t="n">
        <f aca="false">F6/12</f>
        <v>0</v>
      </c>
    </row>
    <row r="7" customFormat="false" ht="15" hidden="false" customHeight="false" outlineLevel="0" collapsed="false">
      <c r="B7" s="9" t="s">
        <v>96</v>
      </c>
      <c r="C7" s="10" t="n">
        <v>0</v>
      </c>
      <c r="D7" s="20" t="n">
        <v>0</v>
      </c>
      <c r="E7" s="14" t="n">
        <v>0</v>
      </c>
      <c r="F7" s="18" t="n">
        <f aca="false">C7*D7*E7</f>
        <v>0</v>
      </c>
      <c r="G7" s="18" t="n">
        <f aca="false">F7/12</f>
        <v>0</v>
      </c>
    </row>
    <row r="8" customFormat="false" ht="15" hidden="false" customHeight="false" outlineLevel="0" collapsed="false">
      <c r="B8" s="9" t="s">
        <v>97</v>
      </c>
      <c r="C8" s="10" t="n">
        <v>0</v>
      </c>
      <c r="D8" s="20" t="n">
        <v>0</v>
      </c>
      <c r="E8" s="14" t="n">
        <v>0</v>
      </c>
      <c r="F8" s="18" t="n">
        <f aca="false">C8*D8*E8</f>
        <v>0</v>
      </c>
      <c r="G8" s="18" t="n">
        <f aca="false">F8/12</f>
        <v>0</v>
      </c>
    </row>
    <row r="9" customFormat="false" ht="15" hidden="false" customHeight="false" outlineLevel="0" collapsed="false">
      <c r="B9" s="9" t="s">
        <v>98</v>
      </c>
      <c r="C9" s="10" t="n">
        <v>0</v>
      </c>
      <c r="D9" s="20" t="n">
        <v>0</v>
      </c>
      <c r="E9" s="14" t="n">
        <v>0</v>
      </c>
      <c r="F9" s="18" t="n">
        <f aca="false">C9*D9*E9</f>
        <v>0</v>
      </c>
      <c r="G9" s="18" t="n">
        <f aca="false">F9/12</f>
        <v>0</v>
      </c>
    </row>
    <row r="10" customFormat="false" ht="15" hidden="false" customHeight="false" outlineLevel="0" collapsed="false">
      <c r="B10" s="9" t="s">
        <v>99</v>
      </c>
      <c r="C10" s="10" t="n">
        <v>0</v>
      </c>
      <c r="D10" s="20" t="n">
        <v>0</v>
      </c>
      <c r="E10" s="14" t="n">
        <v>0</v>
      </c>
      <c r="F10" s="18" t="n">
        <f aca="false">C10*D10*E10</f>
        <v>0</v>
      </c>
      <c r="G10" s="18" t="n">
        <f aca="false">F10/12</f>
        <v>0</v>
      </c>
    </row>
    <row r="11" customFormat="false" ht="15" hidden="false" customHeight="false" outlineLevel="0" collapsed="false">
      <c r="B11" s="9" t="s">
        <v>100</v>
      </c>
      <c r="C11" s="10" t="n">
        <v>0</v>
      </c>
      <c r="D11" s="20" t="n">
        <v>0</v>
      </c>
      <c r="E11" s="14" t="n">
        <v>0</v>
      </c>
      <c r="F11" s="18" t="n">
        <f aca="false">C11*D11*E11</f>
        <v>0</v>
      </c>
      <c r="G11" s="18" t="n">
        <f aca="false">F11/12</f>
        <v>0</v>
      </c>
    </row>
    <row r="12" customFormat="false" ht="15" hidden="false" customHeight="false" outlineLevel="0" collapsed="false">
      <c r="B12" s="9" t="s">
        <v>101</v>
      </c>
      <c r="C12" s="10" t="n">
        <v>0</v>
      </c>
      <c r="D12" s="20" t="n">
        <v>0</v>
      </c>
      <c r="E12" s="14" t="n">
        <v>0</v>
      </c>
      <c r="F12" s="18" t="n">
        <f aca="false">C12*D12*E12</f>
        <v>0</v>
      </c>
      <c r="G12" s="18" t="n">
        <f aca="false">F12/12</f>
        <v>0</v>
      </c>
    </row>
    <row r="13" customFormat="false" ht="15" hidden="false" customHeight="false" outlineLevel="0" collapsed="false">
      <c r="B13" s="9" t="s">
        <v>102</v>
      </c>
      <c r="C13" s="10" t="n">
        <v>0</v>
      </c>
      <c r="D13" s="20" t="n">
        <v>0</v>
      </c>
      <c r="E13" s="14" t="n">
        <v>0</v>
      </c>
      <c r="F13" s="18" t="n">
        <f aca="false">C13*D13*E13</f>
        <v>0</v>
      </c>
      <c r="G13" s="18" t="n">
        <f aca="false">F13/12</f>
        <v>0</v>
      </c>
    </row>
    <row r="14" customFormat="false" ht="15" hidden="false" customHeight="false" outlineLevel="0" collapsed="false">
      <c r="B14" s="6" t="s">
        <v>52</v>
      </c>
      <c r="F14" s="17" t="n">
        <f aca="false">SUM(F6:F13)</f>
        <v>0</v>
      </c>
      <c r="G14" s="17" t="n">
        <f aca="false">SUM(G6:G13)</f>
        <v>0</v>
      </c>
    </row>
  </sheetData>
  <sheetProtection sheet="true" formatCells="false" insertRows="false" delete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52"/>
  </cols>
  <sheetData>
    <row r="2" customFormat="false" ht="17.35" hidden="false" customHeight="false" outlineLevel="0" collapsed="false">
      <c r="B2" s="1" t="s">
        <v>103</v>
      </c>
    </row>
    <row r="3" customFormat="false" ht="15" hidden="false" customHeight="false" outlineLevel="0" collapsed="false">
      <c r="B3" s="5" t="s">
        <v>104</v>
      </c>
    </row>
    <row r="5" customFormat="false" ht="15" hidden="false" customHeight="false" outlineLevel="0" collapsed="false">
      <c r="B5" s="9" t="s">
        <v>63</v>
      </c>
      <c r="C5" s="18" t="n">
        <f aca="false">'2 Labor'!$C$28</f>
        <v>1646.8326</v>
      </c>
    </row>
    <row r="6" customFormat="false" ht="15" hidden="false" customHeight="false" outlineLevel="0" collapsed="false">
      <c r="B6" s="9" t="s">
        <v>82</v>
      </c>
      <c r="C6" s="18" t="n">
        <f aca="false">'3 Costs'!$C$14</f>
        <v>672.612</v>
      </c>
    </row>
    <row r="7" customFormat="false" ht="15" hidden="false" customHeight="false" outlineLevel="0" collapsed="false">
      <c r="B7" s="9" t="s">
        <v>105</v>
      </c>
      <c r="C7" s="18" t="n">
        <f aca="false">'4 Periodic'!$G$14</f>
        <v>0</v>
      </c>
    </row>
    <row r="8" customFormat="false" ht="15" hidden="false" customHeight="false" outlineLevel="0" collapsed="false">
      <c r="B8" s="6" t="s">
        <v>106</v>
      </c>
      <c r="C8" s="17" t="n">
        <f aca="false">SUM(C5:C7)</f>
        <v>2319.4446</v>
      </c>
    </row>
    <row r="9" customFormat="false" ht="15" hidden="false" customHeight="false" outlineLevel="0" collapsed="false">
      <c r="B9" s="9" t="s">
        <v>107</v>
      </c>
      <c r="C9" s="15" t="n">
        <v>0.35</v>
      </c>
    </row>
    <row r="10" customFormat="false" ht="15" hidden="false" customHeight="false" outlineLevel="0" collapsed="false">
      <c r="B10" s="6" t="s">
        <v>108</v>
      </c>
      <c r="C10" s="21" t="n">
        <f aca="false">IF($C$9&gt;=1,0,$C$8/(1-$C$9))</f>
        <v>3568.37630769231</v>
      </c>
      <c r="D10" s="5" t="s">
        <v>109</v>
      </c>
    </row>
    <row r="13" customFormat="false" ht="17.35" hidden="false" customHeight="false" outlineLevel="0" collapsed="false">
      <c r="B13" s="1" t="s">
        <v>15</v>
      </c>
    </row>
    <row r="14" customFormat="false" ht="15" hidden="false" customHeight="false" outlineLevel="0" collapsed="false">
      <c r="B14" s="8" t="s">
        <v>110</v>
      </c>
      <c r="C14" s="8" t="s">
        <v>111</v>
      </c>
      <c r="D14" s="8" t="s">
        <v>112</v>
      </c>
    </row>
    <row r="15" customFormat="false" ht="15" hidden="false" customHeight="false" outlineLevel="0" collapsed="false">
      <c r="B15" s="9" t="s">
        <v>113</v>
      </c>
      <c r="C15" s="22" t="n">
        <f aca="false">IF('2 Labor'!$C$13=0,0,$C$10/'2 Labor'!$C$13)</f>
        <v>0.336639274310595</v>
      </c>
      <c r="D15" s="5" t="s">
        <v>114</v>
      </c>
    </row>
    <row r="16" customFormat="false" ht="15" hidden="false" customHeight="false" outlineLevel="0" collapsed="false">
      <c r="B16" s="9" t="s">
        <v>115</v>
      </c>
      <c r="C16" s="18" t="n">
        <f aca="false">IF('2 Labor'!$C$26=0,0,$C$10/'2 Labor'!$C$26)</f>
        <v>169.922681318681</v>
      </c>
    </row>
    <row r="17" customFormat="false" ht="15" hidden="false" customHeight="false" outlineLevel="0" collapsed="false">
      <c r="B17" s="9" t="s">
        <v>116</v>
      </c>
      <c r="C17" s="23" t="n">
        <f aca="false">IF('2 Labor'!$C$27=0,0,$C$10/'2 Labor'!$C$27)</f>
        <v>39.7479956301009</v>
      </c>
      <c r="D17" s="5" t="s">
        <v>117</v>
      </c>
    </row>
    <row r="18" customFormat="false" ht="15" hidden="false" customHeight="false" outlineLevel="0" collapsed="false">
      <c r="B18" s="9" t="s">
        <v>118</v>
      </c>
      <c r="C18" s="18" t="n">
        <f aca="false">$C$8</f>
        <v>2319.4446</v>
      </c>
      <c r="D18" s="5" t="s">
        <v>119</v>
      </c>
    </row>
    <row r="19" customFormat="false" ht="15" hidden="false" customHeight="false" outlineLevel="0" collapsed="false">
      <c r="B19" s="9" t="s">
        <v>120</v>
      </c>
      <c r="C19" s="24" t="n">
        <f aca="false">IF($C$10=0,0,($C$10-$C$8)/$C$10)</f>
        <v>0.35</v>
      </c>
    </row>
    <row r="22" customFormat="false" ht="17.35" hidden="false" customHeight="false" outlineLevel="0" collapsed="false">
      <c r="B22" s="1" t="s">
        <v>121</v>
      </c>
    </row>
    <row r="23" customFormat="false" ht="15" hidden="false" customHeight="false" outlineLevel="0" collapsed="false">
      <c r="B23" s="4" t="s">
        <v>122</v>
      </c>
    </row>
    <row r="24" customFormat="false" ht="15" hidden="false" customHeight="false" outlineLevel="0" collapsed="false">
      <c r="B24" s="4" t="s">
        <v>123</v>
      </c>
    </row>
    <row r="25" customFormat="false" ht="15" hidden="false" customHeight="false" outlineLevel="0" collapsed="false">
      <c r="B25" s="4" t="s">
        <v>124</v>
      </c>
    </row>
    <row r="26" customFormat="false" ht="15" hidden="false" customHeight="false" outlineLevel="0" collapsed="false">
      <c r="B26" s="4" t="s">
        <v>125</v>
      </c>
    </row>
  </sheetData>
  <sheetProtection sheet="true" formatCells="false" insertRows="false" delete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2026-08-13T18:57:01Z</dcterms:created>
  <dc:creator>openpyxl</dc:creator>
  <dc:description/>
  <dc:language>en-US</dc:language>
  <cp:lastModifiedBy/>
  <dcterms:modified xsi:type="dcterms:W3CDTF">2026-08-13T18:57:01Z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